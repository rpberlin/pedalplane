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blanchard/myApplications/Python_bin/pedalplane/"/>
    </mc:Choice>
  </mc:AlternateContent>
  <xr:revisionPtr revIDLastSave="0" documentId="13_ncr:1_{7C92173B-6C67-DF4B-95DE-D5CEB84CC441}" xr6:coauthVersionLast="47" xr6:coauthVersionMax="47" xr10:uidLastSave="{00000000-0000-0000-0000-000000000000}"/>
  <bookViews>
    <workbookView xWindow="60" yWindow="40" windowWidth="67200" windowHeight="36540" xr2:uid="{607124BB-8D42-E64C-A1B7-C32ECA185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7" i="1" l="1"/>
  <c r="AC14" i="1"/>
  <c r="AC10" i="1"/>
  <c r="AC12" i="1"/>
  <c r="AF5" i="1"/>
  <c r="AH5" i="1" s="1"/>
  <c r="AF6" i="1"/>
  <c r="AH6" i="1" s="1"/>
  <c r="AH4" i="1"/>
  <c r="F14" i="1"/>
  <c r="B14" i="1"/>
  <c r="AF4" i="1"/>
  <c r="AF3" i="1"/>
  <c r="AH3" i="1" s="1"/>
  <c r="F13" i="1"/>
  <c r="B13" i="1"/>
  <c r="W11" i="1"/>
  <c r="W10" i="1"/>
  <c r="W9" i="1"/>
  <c r="W8" i="1"/>
  <c r="W7" i="1"/>
  <c r="W6" i="1"/>
  <c r="W5" i="1"/>
  <c r="W4" i="1"/>
  <c r="W3" i="1"/>
  <c r="W2" i="1"/>
  <c r="F10" i="1"/>
  <c r="F12" i="1" s="1"/>
  <c r="B10" i="1"/>
  <c r="B12" i="1" s="1"/>
  <c r="X8" i="1" s="1"/>
  <c r="H20" i="1"/>
  <c r="H21" i="1"/>
  <c r="H22" i="1"/>
  <c r="H19" i="1"/>
  <c r="F4" i="1" s="1"/>
  <c r="F6" i="1" s="1"/>
  <c r="F7" i="1" s="1"/>
  <c r="F8" i="1" s="1"/>
  <c r="F5" i="1"/>
  <c r="F9" i="1" s="1"/>
  <c r="B5" i="1"/>
  <c r="B9" i="1" s="1"/>
  <c r="C20" i="1"/>
  <c r="C21" i="1"/>
  <c r="C22" i="1"/>
  <c r="C23" i="1"/>
  <c r="C19" i="1"/>
  <c r="M5" i="1" l="1"/>
  <c r="M8" i="1" s="1"/>
  <c r="X9" i="1"/>
  <c r="X10" i="1"/>
  <c r="X3" i="1"/>
  <c r="X2" i="1"/>
  <c r="X11" i="1"/>
  <c r="X5" i="1"/>
  <c r="X6" i="1"/>
  <c r="X7" i="1"/>
  <c r="Y7" i="1" s="1"/>
  <c r="X4" i="1"/>
  <c r="B4" i="1"/>
  <c r="B6" i="1" s="1"/>
  <c r="B7" i="1" s="1"/>
  <c r="B8" i="1" s="1"/>
  <c r="M9" i="1" l="1"/>
  <c r="AC15" i="1" s="1"/>
  <c r="AC18" i="1" s="1"/>
  <c r="AC19" i="1" s="1"/>
  <c r="AC20" i="1" s="1"/>
  <c r="M7" i="1"/>
  <c r="Y4" i="1"/>
  <c r="Y6" i="1"/>
  <c r="Y11" i="1"/>
  <c r="Y5" i="1"/>
  <c r="Y3" i="1"/>
  <c r="Y2" i="1"/>
  <c r="X13" i="1"/>
  <c r="M4" i="1" s="1"/>
  <c r="Y10" i="1"/>
  <c r="Y9" i="1"/>
  <c r="Y8" i="1"/>
</calcChain>
</file>

<file path=xl/sharedStrings.xml><?xml version="1.0" encoding="utf-8"?>
<sst xmlns="http://schemas.openxmlformats.org/spreadsheetml/2006/main" count="95" uniqueCount="72">
  <si>
    <t>OD</t>
  </si>
  <si>
    <t>ID</t>
  </si>
  <si>
    <t>L</t>
  </si>
  <si>
    <t>y</t>
  </si>
  <si>
    <t>m</t>
  </si>
  <si>
    <t>y-y0</t>
  </si>
  <si>
    <t>b</t>
  </si>
  <si>
    <t>I</t>
  </si>
  <si>
    <t>mm^4</t>
  </si>
  <si>
    <t>mm</t>
  </si>
  <si>
    <t xml:space="preserve">E </t>
  </si>
  <si>
    <t>mm/gram</t>
  </si>
  <si>
    <t>g/mm^2</t>
  </si>
  <si>
    <t>Pa</t>
  </si>
  <si>
    <t>Gpa</t>
  </si>
  <si>
    <t>L^3/I</t>
  </si>
  <si>
    <t>g</t>
  </si>
  <si>
    <t>V</t>
  </si>
  <si>
    <t>m^3</t>
  </si>
  <si>
    <t>rho_eff</t>
  </si>
  <si>
    <t>kg/m^3</t>
  </si>
  <si>
    <t xml:space="preserve">Tube Name </t>
  </si>
  <si>
    <t>Mass</t>
  </si>
  <si>
    <t>Wing Spar Center</t>
  </si>
  <si>
    <t>Qty</t>
  </si>
  <si>
    <t>Wing Spar Outer</t>
  </si>
  <si>
    <t>Keel</t>
  </si>
  <si>
    <t>Empennage_Ext</t>
  </si>
  <si>
    <t>Pilot_sling1</t>
  </si>
  <si>
    <t>Pilot_sling2</t>
  </si>
  <si>
    <t>Pilot_sling3</t>
  </si>
  <si>
    <t>Prop_sparCenter</t>
  </si>
  <si>
    <t>Prop_shaft</t>
  </si>
  <si>
    <t>Prop_sparTips</t>
  </si>
  <si>
    <t>Fraction_of_Total</t>
  </si>
  <si>
    <t>Total</t>
  </si>
  <si>
    <t>Weight Budget Item</t>
  </si>
  <si>
    <t>Human</t>
  </si>
  <si>
    <t>Chain</t>
  </si>
  <si>
    <t>kg</t>
  </si>
  <si>
    <t>Main Structures</t>
  </si>
  <si>
    <t>A</t>
  </si>
  <si>
    <t>m^2</t>
  </si>
  <si>
    <t>sigma_eff</t>
  </si>
  <si>
    <t>Span</t>
  </si>
  <si>
    <t>Chord</t>
  </si>
  <si>
    <t>Item</t>
  </si>
  <si>
    <t>Main Wing</t>
  </si>
  <si>
    <t>A_doubleside m^2</t>
  </si>
  <si>
    <t>Sigma_eff (kg/m^2)</t>
  </si>
  <si>
    <t>Prop</t>
  </si>
  <si>
    <t>g/m^2</t>
  </si>
  <si>
    <t>Vstab</t>
  </si>
  <si>
    <t>Hstab</t>
  </si>
  <si>
    <t>Fabric</t>
  </si>
  <si>
    <t>Total_empty</t>
  </si>
  <si>
    <t>U</t>
  </si>
  <si>
    <t>km/hr</t>
  </si>
  <si>
    <t>m/s</t>
  </si>
  <si>
    <t>rho</t>
  </si>
  <si>
    <t>Lift_Req</t>
  </si>
  <si>
    <t>N</t>
  </si>
  <si>
    <t>A_wing</t>
  </si>
  <si>
    <t>KE</t>
  </si>
  <si>
    <t>C_L</t>
  </si>
  <si>
    <t>e</t>
  </si>
  <si>
    <t>AR</t>
  </si>
  <si>
    <t>Cdi</t>
  </si>
  <si>
    <t>P_Idrag</t>
  </si>
  <si>
    <t>F_idrag</t>
  </si>
  <si>
    <t>W</t>
  </si>
  <si>
    <t>A_prop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</si>
</sst>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y-y0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Sheet1!$A$19:$A$23</c:f>
              <c:numCache>
                <c:formatCode>General</c:formatCode>
                <c:ptCount val="5"/>
                <c:pt idx="0">
                  <c:v>0</c:v>
                </c:pt>
                <c:pt idx="1">
                  <c:v>214</c:v>
                </c:pt>
                <c:pt idx="2">
                  <c:v>479</c:v>
                </c:pt>
                <c:pt idx="3">
                  <c:v>488</c:v>
                </c:pt>
                <c:pt idx="4">
                  <c:v>750</c:v>
                </c:pt>
              </c:numCache>
            </c:numRef>
          </c:xVal>
          <c:yVal>
            <c:numRef>
              <c:f>Sheet1!$C$19:$C$23</c:f>
              <c:numCache>
                <c:formatCode>General</c:formatCode>
                <c:ptCount val="5"/>
                <c:pt idx="0">
                  <c:v>0</c:v>
                </c:pt>
                <c:pt idx="1">
                  <c:v>5.0000000000000711E-2</c:v>
                </c:pt>
                <c:pt idx="2">
                  <c:v>0.44999999999999929</c:v>
                </c:pt>
                <c:pt idx="3">
                  <c:v>0.64999999999999858</c:v>
                </c:pt>
                <c:pt idx="4">
                  <c:v>0.94999999999999929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55-3844-8385-E948EF94A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253008"/>
        <c:axId val="2030345888"/>
      </c:scatterChart>
      <c:valAx>
        <c:axId val="203025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45888"/>
        <c:crosses val="autoZero"/>
        <c:crossBetween val="midCat"/>
      </c:valAx>
      <c:valAx>
        <c:axId val="20303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25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Sheet1!$F$19:$F$22</c:f>
              <c:numCache>
                <c:formatCode>General</c:formatCode>
                <c:ptCount val="4"/>
                <c:pt idx="0">
                  <c:v>0</c:v>
                </c:pt>
                <c:pt idx="1">
                  <c:v>216</c:v>
                </c:pt>
                <c:pt idx="2">
                  <c:v>490</c:v>
                </c:pt>
                <c:pt idx="3">
                  <c:v>752</c:v>
                </c:pt>
              </c:numCache>
            </c:numRef>
          </c:xVal>
          <c:yVal>
            <c:numRef>
              <c:f>Sheet1!$H$19:$H$22</c:f>
              <c:numCache>
                <c:formatCode>General</c:formatCode>
                <c:ptCount val="4"/>
                <c:pt idx="0">
                  <c:v>0</c:v>
                </c:pt>
                <c:pt idx="1">
                  <c:v>0.10000000000000142</c:v>
                </c:pt>
                <c:pt idx="2">
                  <c:v>0.30000000000000071</c:v>
                </c:pt>
                <c:pt idx="3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49-E449-9583-CABAC26C6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253008"/>
        <c:axId val="2030345888"/>
      </c:scatterChart>
      <c:valAx>
        <c:axId val="203025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45888"/>
        <c:crosses val="autoZero"/>
        <c:crossBetween val="midCat"/>
      </c:valAx>
      <c:valAx>
        <c:axId val="20303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25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Sheet1!$R$2:$R$11</c:f>
              <c:strCache>
                <c:ptCount val="10"/>
                <c:pt idx="0">
                  <c:v>Wing Spar Center</c:v>
                </c:pt>
                <c:pt idx="1">
                  <c:v>Wing Spar Outer</c:v>
                </c:pt>
                <c:pt idx="2">
                  <c:v>Keel</c:v>
                </c:pt>
                <c:pt idx="3">
                  <c:v>Empennage_Ext</c:v>
                </c:pt>
                <c:pt idx="4">
                  <c:v>Pilot_sling1</c:v>
                </c:pt>
                <c:pt idx="5">
                  <c:v>Pilot_sling2</c:v>
                </c:pt>
                <c:pt idx="6">
                  <c:v>Pilot_sling3</c:v>
                </c:pt>
                <c:pt idx="7">
                  <c:v>Prop_sparCenter</c:v>
                </c:pt>
                <c:pt idx="8">
                  <c:v>Prop_sparTips</c:v>
                </c:pt>
                <c:pt idx="9">
                  <c:v>Prop_shaft</c:v>
                </c:pt>
              </c:strCache>
            </c:strRef>
          </c:cat>
          <c:val>
            <c:numRef>
              <c:f>Sheet1!$X$2:$X$11</c:f>
              <c:numCache>
                <c:formatCode>General</c:formatCode>
                <c:ptCount val="10"/>
                <c:pt idx="0">
                  <c:v>4.1873684210526321</c:v>
                </c:pt>
                <c:pt idx="1">
                  <c:v>6.2273684210526312</c:v>
                </c:pt>
                <c:pt idx="2">
                  <c:v>2.7915789473684209</c:v>
                </c:pt>
                <c:pt idx="3">
                  <c:v>1.0378947368421054</c:v>
                </c:pt>
                <c:pt idx="4">
                  <c:v>0.18163157894736842</c:v>
                </c:pt>
                <c:pt idx="5">
                  <c:v>0.12973684210526318</c:v>
                </c:pt>
                <c:pt idx="6">
                  <c:v>0.20757894736842106</c:v>
                </c:pt>
                <c:pt idx="7">
                  <c:v>4.9210526315789475E-2</c:v>
                </c:pt>
                <c:pt idx="8">
                  <c:v>8.0526315789473682E-2</c:v>
                </c:pt>
                <c:pt idx="9">
                  <c:v>8.5000000000000006E-2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6-3845-8172-949B58D9B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4918335"/>
        <c:axId val="1975177151"/>
      </c:barChart>
      <c:catAx>
        <c:axId val="197491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177151"/>
        <c:crosses val="autoZero"/>
        <c:auto val="1"/>
        <c:lblAlgn val="ctr"/>
        <c:lblOffset val="100"/>
        <c:noMultiLvlLbl val="0"/>
      </c:catAx>
      <c:valAx>
        <c:axId val="197517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91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22</xdr:row>
      <xdr:rowOff>133350</xdr:rowOff>
    </xdr:from>
    <xdr:to>
      <xdr:col>6</xdr:col>
      <xdr:colOff>165100</xdr:colOff>
      <xdr:row>36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3F86F8-62D2-B53C-19CF-CDB1516FB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12</xdr:col>
      <xdr:colOff>444500</xdr:colOff>
      <xdr:row>36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FAA055-E33F-194C-8907-C11457A67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539750</xdr:colOff>
      <xdr:row>13</xdr:row>
      <xdr:rowOff>152400</xdr:rowOff>
    </xdr:from>
    <xdr:to>
      <xdr:col>45</xdr:col>
      <xdr:colOff>762000</xdr:colOff>
      <xdr:row>52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A4E3C5-6B62-B725-89F5-EE9E2D953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B990-4646-9146-937C-99A5C223D78D}">
  <dimension ref="A1:AH23"/>
  <sheetViews>
    <sheetView tabSelected="1" workbookViewId="0">
      <selection activeCell="P70" sqref="P70"/>
    </sheetView>
  </sheetViews>
  <sheetFormatPr baseColWidth="10" defaultRowHeight="16" x14ac:dyDescent="0.2"/>
  <cols>
    <col min="2" max="2" width="12.1640625" bestFit="1" customWidth="1"/>
    <col min="18" max="18" width="16.83203125" customWidth="1"/>
    <col min="19" max="19" width="15.1640625" bestFit="1" customWidth="1"/>
    <col min="32" max="32" width="15.6640625" bestFit="1" customWidth="1"/>
    <col min="33" max="33" width="16.5" bestFit="1" customWidth="1"/>
  </cols>
  <sheetData>
    <row r="1" spans="1:34" x14ac:dyDescent="0.2">
      <c r="A1" t="s">
        <v>0</v>
      </c>
      <c r="B1">
        <v>20</v>
      </c>
      <c r="C1" t="s">
        <v>9</v>
      </c>
      <c r="F1">
        <v>15</v>
      </c>
      <c r="L1" t="s">
        <v>36</v>
      </c>
      <c r="R1" t="s">
        <v>21</v>
      </c>
      <c r="S1" t="s">
        <v>24</v>
      </c>
      <c r="T1" t="s">
        <v>0</v>
      </c>
      <c r="U1" t="s">
        <v>1</v>
      </c>
      <c r="V1" t="s">
        <v>2</v>
      </c>
      <c r="W1" t="s">
        <v>17</v>
      </c>
      <c r="X1" t="s">
        <v>22</v>
      </c>
      <c r="Y1" t="s">
        <v>34</v>
      </c>
    </row>
    <row r="2" spans="1:34" x14ac:dyDescent="0.2">
      <c r="A2" t="s">
        <v>1</v>
      </c>
      <c r="B2">
        <v>18</v>
      </c>
      <c r="C2" t="s">
        <v>9</v>
      </c>
      <c r="F2">
        <v>14</v>
      </c>
      <c r="L2" t="s">
        <v>37</v>
      </c>
      <c r="M2">
        <v>80</v>
      </c>
      <c r="N2" t="s">
        <v>39</v>
      </c>
      <c r="R2" t="s">
        <v>23</v>
      </c>
      <c r="S2">
        <v>1</v>
      </c>
      <c r="T2">
        <v>80</v>
      </c>
      <c r="U2">
        <v>76</v>
      </c>
      <c r="V2">
        <v>6</v>
      </c>
      <c r="W2">
        <f>PI()*0.25*(T2^2-U2^2)*V2/1000000</f>
        <v>2.9405307237600465E-3</v>
      </c>
      <c r="X2">
        <f>S2*$B$12*W2</f>
        <v>4.1873684210526321</v>
      </c>
      <c r="Y2">
        <f>X2/SUM(X$2:X$11)</f>
        <v>0.27956989247311831</v>
      </c>
      <c r="AB2" t="s">
        <v>46</v>
      </c>
      <c r="AC2" t="s">
        <v>24</v>
      </c>
      <c r="AD2" t="s">
        <v>44</v>
      </c>
      <c r="AE2" t="s">
        <v>45</v>
      </c>
      <c r="AF2" t="s">
        <v>48</v>
      </c>
      <c r="AG2" t="s">
        <v>49</v>
      </c>
      <c r="AH2" t="s">
        <v>22</v>
      </c>
    </row>
    <row r="3" spans="1:34" x14ac:dyDescent="0.2">
      <c r="A3" t="s">
        <v>2</v>
      </c>
      <c r="B3">
        <v>2000</v>
      </c>
      <c r="C3" t="s">
        <v>9</v>
      </c>
      <c r="F3">
        <v>1000</v>
      </c>
      <c r="L3" t="s">
        <v>38</v>
      </c>
      <c r="M3">
        <v>0.24</v>
      </c>
      <c r="R3" t="s">
        <v>25</v>
      </c>
      <c r="S3">
        <v>2</v>
      </c>
      <c r="T3">
        <v>60</v>
      </c>
      <c r="U3">
        <v>56</v>
      </c>
      <c r="V3">
        <v>6</v>
      </c>
      <c r="W3">
        <f>PI()*0.25*(T3^2-U3^2)*V3/1000000</f>
        <v>2.1865484868984959E-3</v>
      </c>
      <c r="X3">
        <f>S3*$B$12*W3</f>
        <v>6.2273684210526312</v>
      </c>
      <c r="Y3">
        <f t="shared" ref="Y3:Y11" si="0">X3/SUM(X$2:X$11)</f>
        <v>0.41577060931899634</v>
      </c>
      <c r="AB3" t="s">
        <v>47</v>
      </c>
      <c r="AC3">
        <v>1</v>
      </c>
      <c r="AD3">
        <v>20</v>
      </c>
      <c r="AE3">
        <v>1.1000000000000001</v>
      </c>
      <c r="AF3">
        <f>2*AC3*AD3*AE3</f>
        <v>44</v>
      </c>
      <c r="AG3">
        <v>0.2</v>
      </c>
      <c r="AH3">
        <f>AF3*AG3</f>
        <v>8.8000000000000007</v>
      </c>
    </row>
    <row r="4" spans="1:34" x14ac:dyDescent="0.2">
      <c r="A4" t="s">
        <v>6</v>
      </c>
      <c r="B4">
        <f>SUMPRODUCT(C19:C23,A19:A23)/SUMSQ(A19:A23)</f>
        <v>1.167368881874481E-3</v>
      </c>
      <c r="C4" t="s">
        <v>11</v>
      </c>
      <c r="F4">
        <f>SUMPRODUCT(H19:H22,F19:F22)/SUMSQ(F19:F22)</f>
        <v>6.3900687583601321E-4</v>
      </c>
      <c r="L4" t="s">
        <v>40</v>
      </c>
      <c r="M4">
        <f>X13</f>
        <v>14.977894736842106</v>
      </c>
      <c r="R4" t="s">
        <v>26</v>
      </c>
      <c r="S4">
        <v>1</v>
      </c>
      <c r="T4">
        <v>80</v>
      </c>
      <c r="U4">
        <v>76</v>
      </c>
      <c r="V4">
        <v>4</v>
      </c>
      <c r="W4">
        <f>PI()*0.25*(T4^2-U4^2)*V4/1000000</f>
        <v>1.9603538158400307E-3</v>
      </c>
      <c r="X4">
        <f>S4*$B$12*W4</f>
        <v>2.7915789473684209</v>
      </c>
      <c r="Y4">
        <f t="shared" si="0"/>
        <v>0.18637992831541217</v>
      </c>
      <c r="AB4" t="s">
        <v>50</v>
      </c>
      <c r="AC4">
        <v>1</v>
      </c>
      <c r="AD4">
        <v>3</v>
      </c>
      <c r="AE4">
        <v>0.1</v>
      </c>
      <c r="AF4">
        <f>2*AC4*AD4*AE4</f>
        <v>0.60000000000000009</v>
      </c>
      <c r="AG4">
        <v>0.2</v>
      </c>
      <c r="AH4">
        <f>AF4*AG4</f>
        <v>0.12000000000000002</v>
      </c>
    </row>
    <row r="5" spans="1:34" x14ac:dyDescent="0.2">
      <c r="A5" t="s">
        <v>7</v>
      </c>
      <c r="B5">
        <f>PI()*(B1^4-B2^4)/64</f>
        <v>2700.9842839238245</v>
      </c>
      <c r="C5" t="s">
        <v>8</v>
      </c>
      <c r="F5">
        <f>PI()*(F1^4-F2^4)/64</f>
        <v>599.30788605746534</v>
      </c>
      <c r="L5" t="s">
        <v>54</v>
      </c>
      <c r="M5">
        <f>SUM(AH3:AH6)</f>
        <v>10.48</v>
      </c>
      <c r="R5" t="s">
        <v>27</v>
      </c>
      <c r="S5">
        <v>1</v>
      </c>
      <c r="T5">
        <v>60</v>
      </c>
      <c r="U5">
        <v>56</v>
      </c>
      <c r="V5">
        <v>2</v>
      </c>
      <c r="W5">
        <f>PI()*0.25*(T5^2-U5^2)*V5/1000000</f>
        <v>7.2884949563283203E-4</v>
      </c>
      <c r="X5">
        <f>S5*$B$12*W5</f>
        <v>1.0378947368421054</v>
      </c>
      <c r="Y5">
        <f t="shared" si="0"/>
        <v>6.929510155316608E-2</v>
      </c>
      <c r="AB5" t="s">
        <v>52</v>
      </c>
      <c r="AC5">
        <v>1</v>
      </c>
      <c r="AD5">
        <v>2.5</v>
      </c>
      <c r="AE5">
        <v>0.6</v>
      </c>
      <c r="AF5">
        <f t="shared" ref="AF5:AF7" si="1">2*AC5*AD5*AE5</f>
        <v>3</v>
      </c>
      <c r="AG5">
        <v>0.2</v>
      </c>
      <c r="AH5">
        <f t="shared" ref="AH5:AH7" si="2">AF5*AG5</f>
        <v>0.60000000000000009</v>
      </c>
    </row>
    <row r="6" spans="1:34" x14ac:dyDescent="0.2">
      <c r="A6" t="s">
        <v>10</v>
      </c>
      <c r="B6">
        <f>B3^3/(48*B4*B5)</f>
        <v>52858955.860911913</v>
      </c>
      <c r="C6" t="s">
        <v>12</v>
      </c>
      <c r="F6">
        <f>F3^3/(48*F4*F5)</f>
        <v>54400543.5344209</v>
      </c>
      <c r="R6" t="s">
        <v>28</v>
      </c>
      <c r="S6">
        <v>1</v>
      </c>
      <c r="T6">
        <v>30</v>
      </c>
      <c r="U6">
        <v>28</v>
      </c>
      <c r="V6">
        <v>1.4</v>
      </c>
      <c r="W6">
        <f>PI()*0.25*(T6^2-U6^2)*V6/1000000</f>
        <v>1.2754866173574561E-4</v>
      </c>
      <c r="X6">
        <f>S6*$B$12*W6</f>
        <v>0.18163157894736842</v>
      </c>
      <c r="Y6">
        <f t="shared" si="0"/>
        <v>1.2126642771804062E-2</v>
      </c>
      <c r="AB6" t="s">
        <v>53</v>
      </c>
      <c r="AC6">
        <v>2</v>
      </c>
      <c r="AD6">
        <v>2</v>
      </c>
      <c r="AE6">
        <v>0.6</v>
      </c>
      <c r="AF6">
        <f t="shared" si="1"/>
        <v>4.8</v>
      </c>
      <c r="AG6">
        <v>0.2</v>
      </c>
      <c r="AH6">
        <f t="shared" si="2"/>
        <v>0.96</v>
      </c>
    </row>
    <row r="7" spans="1:34" x14ac:dyDescent="0.2">
      <c r="A7" t="s">
        <v>10</v>
      </c>
      <c r="B7">
        <f>B6*1000*9.81</f>
        <v>518546356995.5459</v>
      </c>
      <c r="C7" t="s">
        <v>13</v>
      </c>
      <c r="F7">
        <f>F6*1000*9.81</f>
        <v>533669332072.66907</v>
      </c>
      <c r="J7" s="1"/>
      <c r="L7" t="s">
        <v>55</v>
      </c>
      <c r="M7">
        <f>M8-M2</f>
        <v>25.697894736842102</v>
      </c>
      <c r="N7" t="s">
        <v>39</v>
      </c>
      <c r="R7" t="s">
        <v>29</v>
      </c>
      <c r="S7">
        <v>1</v>
      </c>
      <c r="T7">
        <v>30</v>
      </c>
      <c r="U7">
        <v>28</v>
      </c>
      <c r="V7">
        <v>1</v>
      </c>
      <c r="W7">
        <f>PI()*0.25*(T7^2-U7^2)*V7/1000000</f>
        <v>9.1106186954104004E-5</v>
      </c>
      <c r="X7">
        <f>S7*$B$12*W7</f>
        <v>0.12973684210526318</v>
      </c>
      <c r="Y7">
        <f t="shared" si="0"/>
        <v>8.66188769414576E-3</v>
      </c>
    </row>
    <row r="8" spans="1:34" x14ac:dyDescent="0.2">
      <c r="B8">
        <f>B7/1000000000</f>
        <v>518.54635699554592</v>
      </c>
      <c r="C8" t="s">
        <v>14</v>
      </c>
      <c r="F8">
        <f>F7/1000000000</f>
        <v>533.66933207266902</v>
      </c>
      <c r="L8" t="s">
        <v>35</v>
      </c>
      <c r="M8">
        <f>SUM(M2:M5)</f>
        <v>105.6978947368421</v>
      </c>
      <c r="N8" t="s">
        <v>39</v>
      </c>
      <c r="R8" t="s">
        <v>30</v>
      </c>
      <c r="S8">
        <v>1</v>
      </c>
      <c r="T8">
        <v>30</v>
      </c>
      <c r="U8">
        <v>28</v>
      </c>
      <c r="V8">
        <v>1.6</v>
      </c>
      <c r="W8">
        <f>PI()*0.25*(T8^2-U8^2)*V8/1000000</f>
        <v>1.4576989912656641E-4</v>
      </c>
      <c r="X8">
        <f>S8*$B$12*W8</f>
        <v>0.20757894736842106</v>
      </c>
      <c r="Y8">
        <f t="shared" si="0"/>
        <v>1.3859020310633213E-2</v>
      </c>
    </row>
    <row r="9" spans="1:34" x14ac:dyDescent="0.2">
      <c r="A9" t="s">
        <v>15</v>
      </c>
      <c r="B9">
        <f>B3^3/B5/1000000</f>
        <v>2.9618832096194541</v>
      </c>
      <c r="F9">
        <f>F3^3/F5/1000000</f>
        <v>1.6685914256501437</v>
      </c>
      <c r="L9" t="s">
        <v>60</v>
      </c>
      <c r="M9">
        <f>M8*9.81</f>
        <v>1036.8963473684212</v>
      </c>
      <c r="N9" t="s">
        <v>61</v>
      </c>
      <c r="R9" t="s">
        <v>31</v>
      </c>
      <c r="S9">
        <v>1</v>
      </c>
      <c r="T9">
        <v>12</v>
      </c>
      <c r="U9">
        <v>10</v>
      </c>
      <c r="V9">
        <v>1</v>
      </c>
      <c r="W9">
        <f>PI()*0.25*(T9^2-U9^2)*V9/1000000</f>
        <v>3.4557519189487722E-5</v>
      </c>
      <c r="X9">
        <f>S9*$B$12*W9</f>
        <v>4.9210526315789475E-2</v>
      </c>
      <c r="Y9">
        <f t="shared" si="0"/>
        <v>3.2855436081242529E-3</v>
      </c>
    </row>
    <row r="10" spans="1:34" x14ac:dyDescent="0.2">
      <c r="A10" t="s">
        <v>17</v>
      </c>
      <c r="B10">
        <f>0.25*PI()*(B1^2-B2^2)*B3/1000000000</f>
        <v>1.1938052083641214E-4</v>
      </c>
      <c r="C10" t="s">
        <v>18</v>
      </c>
      <c r="F10">
        <f>0.25*PI()*(F1^2-F2^2)*F3/1000000000</f>
        <v>2.2776546738526001E-5</v>
      </c>
      <c r="R10" t="s">
        <v>33</v>
      </c>
      <c r="S10">
        <v>2</v>
      </c>
      <c r="T10">
        <v>10</v>
      </c>
      <c r="U10">
        <v>8</v>
      </c>
      <c r="V10">
        <v>1</v>
      </c>
      <c r="W10">
        <f>PI()*0.25*(T10^2-U10^2)*V10/1000000</f>
        <v>2.8274333882308137E-5</v>
      </c>
      <c r="X10">
        <f>S10*$B$12*W10</f>
        <v>8.0526315789473682E-2</v>
      </c>
      <c r="Y10">
        <f t="shared" si="0"/>
        <v>5.3763440860215049E-3</v>
      </c>
      <c r="AB10" t="s">
        <v>62</v>
      </c>
      <c r="AC10">
        <f>AD3*AE3</f>
        <v>22</v>
      </c>
      <c r="AD10" t="s">
        <v>42</v>
      </c>
    </row>
    <row r="11" spans="1:34" x14ac:dyDescent="0.2">
      <c r="B11">
        <v>170</v>
      </c>
      <c r="C11" t="s">
        <v>16</v>
      </c>
      <c r="F11">
        <v>34</v>
      </c>
      <c r="G11" t="s">
        <v>16</v>
      </c>
      <c r="R11" t="s">
        <v>32</v>
      </c>
      <c r="S11">
        <v>1</v>
      </c>
      <c r="T11">
        <v>20</v>
      </c>
      <c r="U11">
        <v>18</v>
      </c>
      <c r="V11">
        <v>1</v>
      </c>
      <c r="W11">
        <f>PI()*0.25*(T11^2-U11^2)*V11/1000000</f>
        <v>5.9690260418206069E-5</v>
      </c>
      <c r="X11">
        <f>S11*$B$12*W11</f>
        <v>8.5000000000000006E-2</v>
      </c>
      <c r="Y11">
        <f t="shared" si="0"/>
        <v>5.675029868578256E-3</v>
      </c>
      <c r="AB11" t="s">
        <v>56</v>
      </c>
      <c r="AC11">
        <v>30</v>
      </c>
      <c r="AD11" t="s">
        <v>57</v>
      </c>
    </row>
    <row r="12" spans="1:34" x14ac:dyDescent="0.2">
      <c r="A12" t="s">
        <v>19</v>
      </c>
      <c r="B12">
        <f>B11*0.001/B10</f>
        <v>1424.0179118748531</v>
      </c>
      <c r="C12" t="s">
        <v>20</v>
      </c>
      <c r="F12">
        <f>F11*0.001/F10</f>
        <v>1492.7636041722599</v>
      </c>
      <c r="G12" t="s">
        <v>20</v>
      </c>
      <c r="AC12">
        <f>AC11*1000/3600</f>
        <v>8.3333333333333339</v>
      </c>
      <c r="AD12" t="s">
        <v>58</v>
      </c>
    </row>
    <row r="13" spans="1:34" x14ac:dyDescent="0.2">
      <c r="A13" t="s">
        <v>41</v>
      </c>
      <c r="B13">
        <f>PI()*B1*B3/1000000</f>
        <v>0.12566370614359174</v>
      </c>
      <c r="C13" t="s">
        <v>42</v>
      </c>
      <c r="F13">
        <f>PI()*F1*F3/1000000</f>
        <v>4.7123889803846894E-2</v>
      </c>
      <c r="G13" t="s">
        <v>42</v>
      </c>
      <c r="R13" t="s">
        <v>35</v>
      </c>
      <c r="X13">
        <f>SUM(X2:X11)</f>
        <v>14.977894736842106</v>
      </c>
      <c r="AB13" t="s">
        <v>59</v>
      </c>
      <c r="AC13">
        <v>1.2</v>
      </c>
      <c r="AD13" t="s">
        <v>20</v>
      </c>
    </row>
    <row r="14" spans="1:34" x14ac:dyDescent="0.2">
      <c r="A14" t="s">
        <v>43</v>
      </c>
      <c r="B14">
        <f>B11/B13</f>
        <v>1352.8170162811102</v>
      </c>
      <c r="C14" t="s">
        <v>51</v>
      </c>
      <c r="F14">
        <f>F11/F13</f>
        <v>721.50240868325898</v>
      </c>
      <c r="G14" t="s">
        <v>51</v>
      </c>
      <c r="AB14" t="s">
        <v>63</v>
      </c>
      <c r="AC14">
        <f>0.5*AC13*AC12^2</f>
        <v>41.666666666666671</v>
      </c>
      <c r="AD14" t="s">
        <v>13</v>
      </c>
    </row>
    <row r="15" spans="1:34" x14ac:dyDescent="0.2">
      <c r="AB15" t="s">
        <v>64</v>
      </c>
      <c r="AC15">
        <f>M9/(AC14*AC10)</f>
        <v>1.1311596516746412</v>
      </c>
    </row>
    <row r="16" spans="1:34" x14ac:dyDescent="0.2">
      <c r="AB16" t="s">
        <v>65</v>
      </c>
      <c r="AC16">
        <v>0.9</v>
      </c>
    </row>
    <row r="17" spans="1:30" x14ac:dyDescent="0.2">
      <c r="AB17" t="s">
        <v>66</v>
      </c>
      <c r="AC17">
        <f>AD3/AE3</f>
        <v>18.18181818181818</v>
      </c>
    </row>
    <row r="18" spans="1:30" x14ac:dyDescent="0.2">
      <c r="A18" t="s">
        <v>4</v>
      </c>
      <c r="B18" t="s">
        <v>3</v>
      </c>
      <c r="C18" t="s">
        <v>5</v>
      </c>
      <c r="F18" t="s">
        <v>4</v>
      </c>
      <c r="G18" t="s">
        <v>3</v>
      </c>
      <c r="H18" t="s">
        <v>5</v>
      </c>
      <c r="AB18" t="s">
        <v>67</v>
      </c>
      <c r="AC18">
        <f>AC15^2/(PI()*AC17*AC16)</f>
        <v>2.4889611532370216E-2</v>
      </c>
    </row>
    <row r="19" spans="1:30" x14ac:dyDescent="0.2">
      <c r="A19">
        <v>0</v>
      </c>
      <c r="B19">
        <v>16.25</v>
      </c>
      <c r="C19">
        <f>B19-B$19</f>
        <v>0</v>
      </c>
      <c r="F19">
        <v>0</v>
      </c>
      <c r="G19">
        <v>14.7</v>
      </c>
      <c r="H19">
        <f>G19-G$19</f>
        <v>0</v>
      </c>
      <c r="AB19" t="s">
        <v>69</v>
      </c>
      <c r="AC19">
        <f>AC14*AC18*AC10</f>
        <v>22.815477238006036</v>
      </c>
      <c r="AD19" t="s">
        <v>61</v>
      </c>
    </row>
    <row r="20" spans="1:30" x14ac:dyDescent="0.2">
      <c r="A20">
        <v>214</v>
      </c>
      <c r="B20">
        <v>16.3</v>
      </c>
      <c r="C20">
        <f>B20-B$19</f>
        <v>5.0000000000000711E-2</v>
      </c>
      <c r="F20">
        <v>216</v>
      </c>
      <c r="G20">
        <v>14.8</v>
      </c>
      <c r="H20">
        <f>G20-G$19</f>
        <v>0.10000000000000142</v>
      </c>
      <c r="AB20" t="s">
        <v>68</v>
      </c>
      <c r="AC20">
        <f>AC19*AC12</f>
        <v>190.12897698338364</v>
      </c>
      <c r="AD20" t="s">
        <v>70</v>
      </c>
    </row>
    <row r="21" spans="1:30" x14ac:dyDescent="0.2">
      <c r="A21">
        <v>479</v>
      </c>
      <c r="B21">
        <v>16.7</v>
      </c>
      <c r="C21">
        <f>B21-B$19</f>
        <v>0.44999999999999929</v>
      </c>
      <c r="F21">
        <v>490</v>
      </c>
      <c r="G21">
        <v>15</v>
      </c>
      <c r="H21">
        <f>G21-G$19</f>
        <v>0.30000000000000071</v>
      </c>
    </row>
    <row r="22" spans="1:30" x14ac:dyDescent="0.2">
      <c r="A22">
        <v>488</v>
      </c>
      <c r="B22">
        <v>16.899999999999999</v>
      </c>
      <c r="C22">
        <f>B22-B$19</f>
        <v>0.64999999999999858</v>
      </c>
      <c r="F22">
        <v>752</v>
      </c>
      <c r="G22">
        <v>15.2</v>
      </c>
      <c r="H22">
        <f>G22-G$19</f>
        <v>0.5</v>
      </c>
      <c r="AB22" t="s">
        <v>71</v>
      </c>
    </row>
    <row r="23" spans="1:30" x14ac:dyDescent="0.2">
      <c r="A23">
        <v>750</v>
      </c>
      <c r="B23">
        <v>17.2</v>
      </c>
      <c r="C23">
        <f>B23-B$19</f>
        <v>0.94999999999999929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Blanchard</dc:creator>
  <cp:lastModifiedBy>Ryan Blanchard</cp:lastModifiedBy>
  <dcterms:created xsi:type="dcterms:W3CDTF">2025-10-18T16:47:14Z</dcterms:created>
  <dcterms:modified xsi:type="dcterms:W3CDTF">2026-01-17T13:39:01Z</dcterms:modified>
</cp:coreProperties>
</file>